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門別サマリ" sheetId="1" state="visible" r:id="rId1"/>
    <sheet xmlns:r="http://schemas.openxmlformats.org/officeDocument/2006/relationships" name="案件別詳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3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0" customWidth="1" min="10" max="10"/>
  </cols>
  <sheetData>
    <row r="1">
      <c r="A1" s="1" t="inlineStr">
        <is>
          <t>開発本部 2026年度 予算管理表</t>
        </is>
      </c>
    </row>
    <row r="2">
      <c r="A2" s="2" t="inlineStr">
        <is>
          <t>管理者: 高橋裕子  更新日: 2026/04/08  単位: 万円</t>
        </is>
      </c>
    </row>
    <row r="3"/>
    <row r="4">
      <c r="A4" s="3" t="inlineStr">
        <is>
          <t>部門</t>
        </is>
      </c>
      <c r="B4" s="3" t="inlineStr">
        <is>
          <t>年間予算
(万円)</t>
        </is>
      </c>
      <c r="C4" s="3" t="inlineStr">
        <is>
          <t>年間予算
工数(人月)</t>
        </is>
      </c>
      <c r="D4" s="3" t="inlineStr">
        <is>
          <t>Q1実績
(万円)</t>
        </is>
      </c>
      <c r="E4" s="3" t="inlineStr">
        <is>
          <t>Q1実績
工数(人月)</t>
        </is>
      </c>
      <c r="F4" s="3" t="inlineStr">
        <is>
          <t>Q2見込
(万円)</t>
        </is>
      </c>
      <c r="G4" s="3" t="inlineStr">
        <is>
          <t>Q2見込
工数(人月)</t>
        </is>
      </c>
      <c r="H4" s="3" t="inlineStr">
        <is>
          <t>年間見込
(万円)</t>
        </is>
      </c>
      <c r="I4" s="3" t="inlineStr">
        <is>
          <t>金額消化率
(見込)</t>
        </is>
      </c>
      <c r="J4" s="3" t="inlineStr">
        <is>
          <t>ステータス</t>
        </is>
      </c>
    </row>
    <row r="5">
      <c r="A5" s="4" t="inlineStr">
        <is>
          <t>プロダクト開発部</t>
        </is>
      </c>
      <c r="B5" s="5" t="n">
        <v>20000</v>
      </c>
      <c r="C5" s="6" t="n">
        <v>180</v>
      </c>
      <c r="D5" s="5" t="n">
        <v>4800</v>
      </c>
      <c r="E5" s="6" t="n">
        <v>43</v>
      </c>
      <c r="F5" s="5" t="n">
        <v>5500</v>
      </c>
      <c r="G5" s="6" t="n">
        <v>50</v>
      </c>
      <c r="H5" s="5" t="n">
        <v>20600</v>
      </c>
      <c r="I5" s="7">
        <f>H5/B5</f>
        <v/>
      </c>
      <c r="J5" s="4" t="inlineStr">
        <is>
          <t>やや超過見込</t>
        </is>
      </c>
    </row>
    <row r="6">
      <c r="A6" s="8" t="inlineStr">
        <is>
          <t>プラットフォーム部</t>
        </is>
      </c>
      <c r="B6" s="9" t="n">
        <v>13000</v>
      </c>
      <c r="C6" s="10" t="n">
        <v>120</v>
      </c>
      <c r="D6" s="9" t="n">
        <v>3100</v>
      </c>
      <c r="E6" s="10" t="n">
        <v>28</v>
      </c>
      <c r="F6" s="9" t="n">
        <v>3200</v>
      </c>
      <c r="G6" s="10" t="n">
        <v>30</v>
      </c>
      <c r="H6" s="9" t="n">
        <v>12600</v>
      </c>
      <c r="I6" s="11">
        <f>H6/B6</f>
        <v/>
      </c>
      <c r="J6" s="8" t="inlineStr">
        <is>
          <t>計画内</t>
        </is>
      </c>
    </row>
    <row r="7">
      <c r="A7" s="4" t="inlineStr">
        <is>
          <t>カスタマーソリューション部</t>
        </is>
      </c>
      <c r="B7" s="5" t="n">
        <v>10000</v>
      </c>
      <c r="C7" s="6" t="n">
        <v>96</v>
      </c>
      <c r="D7" s="5" t="n">
        <v>2400</v>
      </c>
      <c r="E7" s="6" t="n">
        <v>22</v>
      </c>
      <c r="F7" s="5" t="n">
        <v>2800</v>
      </c>
      <c r="G7" s="6" t="n">
        <v>26</v>
      </c>
      <c r="H7" s="5" t="n">
        <v>10400</v>
      </c>
      <c r="I7" s="7">
        <f>H7/B7</f>
        <v/>
      </c>
      <c r="J7" s="4" t="inlineStr">
        <is>
          <t>やや超過見込</t>
        </is>
      </c>
    </row>
    <row r="8">
      <c r="A8" s="8" t="inlineStr">
        <is>
          <t>共通（ツール・ライセンス・研修等）</t>
        </is>
      </c>
      <c r="B8" s="9" t="n">
        <v>5000</v>
      </c>
      <c r="C8" s="8" t="n"/>
      <c r="D8" s="9" t="n">
        <v>1200</v>
      </c>
      <c r="E8" s="8" t="n"/>
      <c r="F8" s="9" t="n">
        <v>1300</v>
      </c>
      <c r="G8" s="8" t="n"/>
      <c r="H8" s="9" t="n">
        <v>5000</v>
      </c>
      <c r="I8" s="11">
        <f>H8/B8</f>
        <v/>
      </c>
      <c r="J8" s="8" t="inlineStr">
        <is>
          <t>計画内</t>
        </is>
      </c>
    </row>
    <row r="9">
      <c r="A9" s="12" t="inlineStr">
        <is>
          <t>合計</t>
        </is>
      </c>
      <c r="B9" s="13">
        <f>SUM(B5:B8)</f>
        <v/>
      </c>
      <c r="C9" s="13">
        <f>SUM(C5:C8)</f>
        <v/>
      </c>
      <c r="D9" s="13">
        <f>SUM(D5:D8)</f>
        <v/>
      </c>
      <c r="E9" s="13">
        <f>SUM(E5:E8)</f>
        <v/>
      </c>
      <c r="F9" s="13">
        <f>SUM(F5:F8)</f>
        <v/>
      </c>
      <c r="G9" s="13">
        <f>SUM(G5:G8)</f>
        <v/>
      </c>
      <c r="H9" s="13">
        <f>SUM(H5:H8)</f>
        <v/>
      </c>
      <c r="I9" s="14">
        <f>H9/B9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案件別 予算執行状況（全部門）</t>
        </is>
      </c>
    </row>
    <row r="2">
      <c r="A2" s="2" t="inlineStr">
        <is>
          <t>※各部門のExcelから手作業で集約。データ鮮度: 部門報告日に依存</t>
        </is>
      </c>
    </row>
    <row r="3"/>
    <row r="4">
      <c r="A4" s="3" t="inlineStr">
        <is>
          <t>部門</t>
        </is>
      </c>
      <c r="B4" s="3" t="inlineStr">
        <is>
          <t>案件ID</t>
        </is>
      </c>
      <c r="C4" s="3" t="inlineStr">
        <is>
          <t>案件名</t>
        </is>
      </c>
      <c r="D4" s="3" t="inlineStr">
        <is>
          <t>予算工数
(人月)</t>
        </is>
      </c>
      <c r="E4" s="3" t="inlineStr">
        <is>
          <t>実績工数
(人月)</t>
        </is>
      </c>
      <c r="F4" s="3" t="inlineStr">
        <is>
          <t>工数
消化率</t>
        </is>
      </c>
      <c r="G4" s="3" t="inlineStr">
        <is>
          <t>予算金額
(万円)</t>
        </is>
      </c>
      <c r="H4" s="3" t="inlineStr">
        <is>
          <t>実績金額
(万円)</t>
        </is>
      </c>
      <c r="I4" s="3" t="inlineStr">
        <is>
          <t>金額
消化率</t>
        </is>
      </c>
      <c r="J4" s="3" t="inlineStr">
        <is>
          <t>残予算
(万円)</t>
        </is>
      </c>
      <c r="K4" s="3" t="inlineStr">
        <is>
          <t>備考</t>
        </is>
      </c>
    </row>
    <row r="5">
      <c r="A5" s="8" t="inlineStr">
        <is>
          <t>プロダクト開発部</t>
        </is>
      </c>
      <c r="B5" s="8" t="inlineStr">
        <is>
          <t>PD-001</t>
        </is>
      </c>
      <c r="C5" s="8" t="inlineStr">
        <is>
          <t>FlowBase v3.2 分岐機能</t>
        </is>
      </c>
      <c r="D5" s="10" t="n">
        <v>12</v>
      </c>
      <c r="E5" s="10" t="n">
        <v>7.5</v>
      </c>
      <c r="F5" s="11">
        <f>E5/D5</f>
        <v/>
      </c>
      <c r="G5" s="9" t="n">
        <v>1280</v>
      </c>
      <c r="H5" s="9" t="n">
        <v>800</v>
      </c>
      <c r="I5" s="11">
        <f>H5/G5</f>
        <v/>
      </c>
      <c r="J5" s="8">
        <f>G5-H5</f>
        <v/>
      </c>
      <c r="K5" s="8" t="inlineStr"/>
    </row>
    <row r="6">
      <c r="A6" s="8" t="inlineStr">
        <is>
          <t>プロダクト開発部</t>
        </is>
      </c>
      <c r="B6" s="8" t="inlineStr">
        <is>
          <t>PD-002</t>
        </is>
      </c>
      <c r="C6" s="8" t="inlineStr">
        <is>
          <t>パフォーマンス改善</t>
        </is>
      </c>
      <c r="D6" s="10" t="n">
        <v>8</v>
      </c>
      <c r="E6" s="10" t="n">
        <v>3</v>
      </c>
      <c r="F6" s="11">
        <f>E6/D6</f>
        <v/>
      </c>
      <c r="G6" s="9" t="n">
        <v>1100</v>
      </c>
      <c r="H6" s="9" t="n">
        <v>460</v>
      </c>
      <c r="I6" s="11">
        <f>H6/G6</f>
        <v/>
      </c>
      <c r="J6" s="8">
        <f>G6-H6</f>
        <v/>
      </c>
      <c r="K6" s="8" t="inlineStr">
        <is>
          <t>外注DBコンサル160万含む</t>
        </is>
      </c>
    </row>
    <row r="7">
      <c r="A7" s="8" t="inlineStr">
        <is>
          <t>プロダクト開発部</t>
        </is>
      </c>
      <c r="B7" s="8" t="inlineStr">
        <is>
          <t>PD-003</t>
        </is>
      </c>
      <c r="C7" s="8" t="inlineStr">
        <is>
          <t>ダッシュボード刷新</t>
        </is>
      </c>
      <c r="D7" s="10" t="n">
        <v>24</v>
      </c>
      <c r="E7" s="10" t="n">
        <v>2</v>
      </c>
      <c r="F7" s="11">
        <f>E7/D7</f>
        <v/>
      </c>
      <c r="G7" s="9" t="n">
        <v>2900</v>
      </c>
      <c r="H7" s="9" t="n">
        <v>200</v>
      </c>
      <c r="I7" s="11">
        <f>H7/G7</f>
        <v/>
      </c>
      <c r="J7" s="8">
        <f>G7-H7</f>
        <v/>
      </c>
      <c r="K7" s="8" t="inlineStr">
        <is>
          <t>外部デザイナー360万見込み追加</t>
        </is>
      </c>
    </row>
    <row r="8">
      <c r="A8" s="8" t="inlineStr">
        <is>
          <t>プロダクト開発部</t>
        </is>
      </c>
      <c r="B8" s="8" t="inlineStr">
        <is>
          <t>PD-004</t>
        </is>
      </c>
      <c r="C8" s="8" t="inlineStr">
        <is>
          <t>API Rate Limiting</t>
        </is>
      </c>
      <c r="D8" s="10" t="n">
        <v>4</v>
      </c>
      <c r="E8" s="10" t="n">
        <v>3.8</v>
      </c>
      <c r="F8" s="11">
        <f>E8/D8</f>
        <v/>
      </c>
      <c r="G8" s="9" t="n">
        <v>420</v>
      </c>
      <c r="H8" s="9" t="n">
        <v>395</v>
      </c>
      <c r="I8" s="11">
        <f>H8/G8</f>
        <v/>
      </c>
      <c r="J8" s="8">
        <f>G8-H8</f>
        <v/>
      </c>
      <c r="K8" s="8" t="inlineStr">
        <is>
          <t>完了。予算内</t>
        </is>
      </c>
    </row>
    <row r="9">
      <c r="A9" s="8" t="inlineStr">
        <is>
          <t>CS部</t>
        </is>
      </c>
      <c r="B9" s="8" t="inlineStr">
        <is>
          <t>CS-001</t>
        </is>
      </c>
      <c r="C9" s="8" t="inlineStr">
        <is>
          <t>ABC商事 請求書WFカスタマイズ</t>
        </is>
      </c>
      <c r="D9" s="10" t="n">
        <v>3</v>
      </c>
      <c r="E9" s="10" t="n">
        <v>2.3</v>
      </c>
      <c r="F9" s="11">
        <f>E9/D9</f>
        <v/>
      </c>
      <c r="G9" s="9" t="n">
        <v>480</v>
      </c>
      <c r="H9" s="9" t="n">
        <v>380</v>
      </c>
      <c r="I9" s="11">
        <f>H9/G9</f>
        <v/>
      </c>
      <c r="J9" s="8">
        <f>G9-H9</f>
        <v/>
      </c>
      <c r="K9" s="8" t="inlineStr"/>
    </row>
    <row r="10">
      <c r="A10" s="8" t="inlineStr">
        <is>
          <t>CS部</t>
        </is>
      </c>
      <c r="B10" s="8" t="inlineStr">
        <is>
          <t>CS-002</t>
        </is>
      </c>
      <c r="C10" s="8" t="inlineStr">
        <is>
          <t>DEF物流 在庫管理追加開発</t>
        </is>
      </c>
      <c r="D10" s="10" t="n">
        <v>6</v>
      </c>
      <c r="E10" s="10" t="n">
        <v>1.3</v>
      </c>
      <c r="F10" s="11">
        <f>E10/D10</f>
        <v/>
      </c>
      <c r="G10" s="9" t="n">
        <v>1200</v>
      </c>
      <c r="H10" s="9" t="n">
        <v>210</v>
      </c>
      <c r="I10" s="11">
        <f>H10/G10</f>
        <v/>
      </c>
      <c r="J10" s="8">
        <f>G10-H10</f>
        <v/>
      </c>
      <c r="K10" s="8" t="inlineStr">
        <is>
          <t>外注SE月80万参画中</t>
        </is>
      </c>
    </row>
    <row r="11">
      <c r="A11" s="8" t="inlineStr">
        <is>
          <t>CS部</t>
        </is>
      </c>
      <c r="B11" s="8" t="inlineStr">
        <is>
          <t>CS-003</t>
        </is>
      </c>
      <c r="C11" s="8" t="inlineStr">
        <is>
          <t>GHI銀行 セキュリティ監査対応</t>
        </is>
      </c>
      <c r="D11" s="10" t="n">
        <v>2</v>
      </c>
      <c r="E11" s="10" t="n">
        <v>1.9</v>
      </c>
      <c r="F11" s="11">
        <f>E11/D11</f>
        <v/>
      </c>
      <c r="G11" s="9" t="n">
        <v>350</v>
      </c>
      <c r="H11" s="9" t="n">
        <v>330</v>
      </c>
      <c r="I11" s="11">
        <f>H11/G11</f>
        <v/>
      </c>
      <c r="J11" s="8">
        <f>G11-H11</f>
        <v/>
      </c>
      <c r="K11" s="8" t="inlineStr">
        <is>
          <t>完了</t>
        </is>
      </c>
    </row>
    <row r="12">
      <c r="A12" s="8" t="inlineStr">
        <is>
          <t>CS部</t>
        </is>
      </c>
      <c r="B12" s="8" t="inlineStr">
        <is>
          <t>CS-004</t>
        </is>
      </c>
      <c r="C12" s="8" t="inlineStr">
        <is>
          <t>ABC商事 承認ルート動的変更</t>
        </is>
      </c>
      <c r="D12" s="10" t="n">
        <v>7.5</v>
      </c>
      <c r="E12" s="10" t="n">
        <v>0.6</v>
      </c>
      <c r="F12" s="11">
        <f>E12/D12</f>
        <v/>
      </c>
      <c r="G12" s="9" t="n">
        <v>1500</v>
      </c>
      <c r="H12" s="9" t="n">
        <v>100</v>
      </c>
      <c r="I12" s="11">
        <f>H12/G12</f>
        <v/>
      </c>
      <c r="J12" s="8">
        <f>G12-H12</f>
        <v/>
      </c>
      <c r="K12" s="8" t="inlineStr">
        <is>
          <t>要件追加で工数膨れリスク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2026-04-13T13:07:17Z</dcterms:created>
  <dcterms:modified xmlns:dcterms="http://purl.org/dc/terms/" xmlns:xsi="http://www.w3.org/2001/XMLSchema-instance" xsi:type="dcterms:W3CDTF">2026-04-13T13:07:17Z</dcterms:modified>
</cp:coreProperties>
</file>