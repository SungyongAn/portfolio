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案件一覧" sheetId="1" state="visible" r:id="rId1"/>
    <sheet xmlns:r="http://schemas.openxmlformats.org/officeDocument/2006/relationships" name="PD-2026-001_タスク" sheetId="2" state="visible" r:id="rId2"/>
    <sheet xmlns:r="http://schemas.openxmlformats.org/officeDocument/2006/relationships" name="工数実績" sheetId="3" state="visible" r:id="rId3"/>
    <sheet xmlns:r="http://schemas.openxmlformats.org/officeDocument/2006/relationships" name="月次報告メモ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666666"/>
      <sz val="11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9" fontId="0" fillId="0" borderId="1" pivotButton="0" quotePrefix="0" xfId="0"/>
    <xf numFmtId="9" fontId="0" fillId="3" borderId="1" pivotButton="0" quotePrefix="0" xfId="0"/>
    <xf numFmtId="164" fontId="0" fillId="0" borderId="1" pivotButton="0" quotePrefix="0" xfId="0"/>
    <xf numFmtId="0" fontId="4" fillId="0" borderId="0" pivotButton="0" quotePrefix="0" xfId="0"/>
    <xf numFmtId="164" fontId="4" fillId="0" borderId="1" pivotButton="0" quotePrefix="0" xfId="0"/>
    <xf numFmtId="9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13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8" customWidth="1" min="12" max="12"/>
  </cols>
  <sheetData>
    <row r="1">
      <c r="A1" s="1" t="inlineStr">
        <is>
          <t>プロダクト開発部 開発進捗管理表</t>
        </is>
      </c>
    </row>
    <row r="2">
      <c r="A2" s="2" t="inlineStr">
        <is>
          <t>更新日: 2026/04/10  作成者: 鈴木健一</t>
        </is>
      </c>
    </row>
    <row r="3"/>
    <row r="4">
      <c r="A4" s="3" t="inlineStr">
        <is>
          <t>No.</t>
        </is>
      </c>
      <c r="B4" s="3" t="inlineStr">
        <is>
          <t>案件名</t>
        </is>
      </c>
      <c r="C4" s="3" t="inlineStr">
        <is>
          <t>案件ID</t>
        </is>
      </c>
      <c r="D4" s="3" t="inlineStr">
        <is>
          <t>担当リード</t>
        </is>
      </c>
      <c r="E4" s="3" t="inlineStr">
        <is>
          <t>開始日</t>
        </is>
      </c>
      <c r="F4" s="3" t="inlineStr">
        <is>
          <t>期限</t>
        </is>
      </c>
      <c r="G4" s="3" t="inlineStr">
        <is>
          <t>予算工数(人月)</t>
        </is>
      </c>
      <c r="H4" s="3" t="inlineStr">
        <is>
          <t>実績工数(人月)</t>
        </is>
      </c>
      <c r="I4" s="3" t="inlineStr">
        <is>
          <t>工数消化率</t>
        </is>
      </c>
      <c r="J4" s="3" t="inlineStr">
        <is>
          <t>ステータス</t>
        </is>
      </c>
      <c r="K4" s="3" t="inlineStr">
        <is>
          <t>進捗率</t>
        </is>
      </c>
      <c r="L4" s="3" t="inlineStr">
        <is>
          <t>備考</t>
        </is>
      </c>
    </row>
    <row r="5">
      <c r="A5" s="4" t="n">
        <v>1</v>
      </c>
      <c r="B5" s="4" t="inlineStr">
        <is>
          <t>FlowBase v3.2 ワークフロー分岐機能</t>
        </is>
      </c>
      <c r="C5" s="4" t="inlineStr">
        <is>
          <t>PD-2026-001</t>
        </is>
      </c>
      <c r="D5" s="4" t="inlineStr">
        <is>
          <t>田中翔太</t>
        </is>
      </c>
      <c r="E5" s="4" t="inlineStr">
        <is>
          <t>2026/02/01</t>
        </is>
      </c>
      <c r="F5" s="4" t="inlineStr">
        <is>
          <t>2026/05/31</t>
        </is>
      </c>
      <c r="G5" s="4" t="n">
        <v>12</v>
      </c>
      <c r="H5" s="4" t="n">
        <v>7.5</v>
      </c>
      <c r="I5" s="5">
        <f>H5/G5</f>
        <v/>
      </c>
      <c r="J5" s="4" t="inlineStr">
        <is>
          <t>開発中</t>
        </is>
      </c>
      <c r="K5" s="5" t="n">
        <v>0.65</v>
      </c>
      <c r="L5" s="4" t="inlineStr">
        <is>
          <t>スプリント5完了。API設計完了、フロントUI実装中</t>
        </is>
      </c>
    </row>
    <row r="6">
      <c r="A6" s="4" t="n">
        <v>2</v>
      </c>
      <c r="B6" s="4" t="inlineStr">
        <is>
          <t>FlowBase パフォーマンス改善</t>
        </is>
      </c>
      <c r="C6" s="4" t="inlineStr">
        <is>
          <t>PD-2026-002</t>
        </is>
      </c>
      <c r="D6" s="4" t="inlineStr">
        <is>
          <t>田中翔太</t>
        </is>
      </c>
      <c r="E6" s="4" t="inlineStr">
        <is>
          <t>2026/03/15</t>
        </is>
      </c>
      <c r="F6" s="4" t="inlineStr">
        <is>
          <t>2026/06/30</t>
        </is>
      </c>
      <c r="G6" s="4" t="n">
        <v>8</v>
      </c>
      <c r="H6" s="4" t="n">
        <v>3</v>
      </c>
      <c r="I6" s="5">
        <f>H6/G6</f>
        <v/>
      </c>
      <c r="J6" s="4" t="inlineStr">
        <is>
          <t>開発中</t>
        </is>
      </c>
      <c r="K6" s="5" t="n">
        <v>0.3</v>
      </c>
      <c r="L6" s="4" t="inlineStr">
        <is>
          <t>DBクエリ最適化フェーズ。外注DBコンサル投入中</t>
        </is>
      </c>
    </row>
    <row r="7">
      <c r="A7" s="4" t="n">
        <v>3</v>
      </c>
      <c r="B7" s="4" t="inlineStr">
        <is>
          <t>ダッシュボード刷新（React移行）</t>
        </is>
      </c>
      <c r="C7" s="4" t="inlineStr">
        <is>
          <t>PD-2026-003</t>
        </is>
      </c>
      <c r="D7" s="4" t="inlineStr">
        <is>
          <t>中村太郎</t>
        </is>
      </c>
      <c r="E7" s="4" t="inlineStr">
        <is>
          <t>2026/04/01</t>
        </is>
      </c>
      <c r="F7" s="4" t="inlineStr">
        <is>
          <t>2026/09/30</t>
        </is>
      </c>
      <c r="G7" s="4" t="n">
        <v>24</v>
      </c>
      <c r="H7" s="4" t="n">
        <v>2</v>
      </c>
      <c r="I7" s="5">
        <f>H7/G7</f>
        <v/>
      </c>
      <c r="J7" s="4" t="inlineStr">
        <is>
          <t>要件定義</t>
        </is>
      </c>
      <c r="K7" s="5" t="n">
        <v>0.1</v>
      </c>
      <c r="L7" s="4" t="inlineStr">
        <is>
          <t>デザインレビュー待ち。外部UIデザイナー起用予定</t>
        </is>
      </c>
    </row>
    <row r="8">
      <c r="A8" s="4" t="n">
        <v>4</v>
      </c>
      <c r="B8" s="4" t="inlineStr">
        <is>
          <t>API Rate Limiting 導入</t>
        </is>
      </c>
      <c r="C8" s="4" t="inlineStr">
        <is>
          <t>PD-2026-004</t>
        </is>
      </c>
      <c r="D8" s="4" t="inlineStr">
        <is>
          <t>山口花子</t>
        </is>
      </c>
      <c r="E8" s="4" t="inlineStr">
        <is>
          <t>2026/01/15</t>
        </is>
      </c>
      <c r="F8" s="4" t="inlineStr">
        <is>
          <t>2026/03/31</t>
        </is>
      </c>
      <c r="G8" s="4" t="n">
        <v>4</v>
      </c>
      <c r="H8" s="4" t="n">
        <v>3.8</v>
      </c>
      <c r="I8" s="5">
        <f>H8/G8</f>
        <v/>
      </c>
      <c r="J8" s="4" t="inlineStr">
        <is>
          <t>完了</t>
        </is>
      </c>
      <c r="K8" s="6" t="n">
        <v>1</v>
      </c>
      <c r="L8" s="4" t="inlineStr">
        <is>
          <t>3/28リリース済み。予算内で完了</t>
        </is>
      </c>
    </row>
    <row r="9">
      <c r="A9" s="4" t="n">
        <v>5</v>
      </c>
      <c r="B9" s="4" t="inlineStr">
        <is>
          <t>多言語対応（英語・中国語）</t>
        </is>
      </c>
      <c r="C9" s="4" t="inlineStr">
        <is>
          <t>PD-2026-005</t>
        </is>
      </c>
      <c r="D9" s="4" t="inlineStr">
        <is>
          <t>田中翔太</t>
        </is>
      </c>
      <c r="E9" s="4" t="inlineStr">
        <is>
          <t>2026/05/01</t>
        </is>
      </c>
      <c r="F9" s="4" t="inlineStr">
        <is>
          <t>2026/09/30</t>
        </is>
      </c>
      <c r="G9" s="4" t="n">
        <v>18</v>
      </c>
      <c r="H9" s="4" t="n">
        <v>0</v>
      </c>
      <c r="I9" s="5">
        <f>H9/G9</f>
        <v/>
      </c>
      <c r="J9" s="4" t="inlineStr">
        <is>
          <t>承認待ち</t>
        </is>
      </c>
      <c r="K9" s="5" t="n">
        <v>0</v>
      </c>
      <c r="L9" s="4" t="inlineStr">
        <is>
          <t>本部承認待ち。翻訳外注費300万見込み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PD-2026-001: FlowBase v3.2 ワークフロー分岐機能</t>
        </is>
      </c>
    </row>
    <row r="2">
      <c r="A2" s="2" t="inlineStr">
        <is>
          <t>担当リード: 田中翔太  予算: 12.0人月 / 1,280万円  更新: 2026/04/10</t>
        </is>
      </c>
    </row>
    <row r="3"/>
    <row r="4">
      <c r="A4" s="3" t="inlineStr">
        <is>
          <t>#</t>
        </is>
      </c>
      <c r="B4" s="3" t="inlineStr">
        <is>
          <t>タスク</t>
        </is>
      </c>
      <c r="C4" s="3" t="inlineStr">
        <is>
          <t>担当</t>
        </is>
      </c>
      <c r="D4" s="3" t="inlineStr">
        <is>
          <t>ステータス</t>
        </is>
      </c>
      <c r="E4" s="3" t="inlineStr">
        <is>
          <t>進捗率</t>
        </is>
      </c>
      <c r="F4" s="3" t="inlineStr">
        <is>
          <t>開始日</t>
        </is>
      </c>
      <c r="G4" s="3" t="inlineStr">
        <is>
          <t>期限</t>
        </is>
      </c>
      <c r="H4" s="3" t="inlineStr">
        <is>
          <t>メモ</t>
        </is>
      </c>
    </row>
    <row r="5">
      <c r="A5" s="4" t="n">
        <v>1</v>
      </c>
      <c r="B5" s="4" t="inlineStr">
        <is>
          <t>要件定義・仕様策定</t>
        </is>
      </c>
      <c r="C5" s="4" t="inlineStr">
        <is>
          <t>田中</t>
        </is>
      </c>
      <c r="D5" s="4" t="inlineStr">
        <is>
          <t>完了</t>
        </is>
      </c>
      <c r="E5" s="5" t="n">
        <v>1</v>
      </c>
      <c r="F5" s="4" t="inlineStr">
        <is>
          <t>2026/02/01</t>
        </is>
      </c>
      <c r="G5" s="4" t="inlineStr">
        <is>
          <t>2026/02/14</t>
        </is>
      </c>
      <c r="H5" s="4" t="inlineStr"/>
    </row>
    <row r="6">
      <c r="A6" s="4" t="n">
        <v>2</v>
      </c>
      <c r="B6" s="4" t="inlineStr">
        <is>
          <t>DB設計（分岐条件テーブル）</t>
        </is>
      </c>
      <c r="C6" s="4" t="inlineStr">
        <is>
          <t>田中</t>
        </is>
      </c>
      <c r="D6" s="4" t="inlineStr">
        <is>
          <t>完了</t>
        </is>
      </c>
      <c r="E6" s="5" t="n">
        <v>1</v>
      </c>
      <c r="F6" s="4" t="inlineStr">
        <is>
          <t>2026/02/15</t>
        </is>
      </c>
      <c r="G6" s="4" t="inlineStr">
        <is>
          <t>2026/02/28</t>
        </is>
      </c>
      <c r="H6" s="4" t="inlineStr"/>
    </row>
    <row r="7">
      <c r="A7" s="4" t="n">
        <v>3</v>
      </c>
      <c r="B7" s="4" t="inlineStr">
        <is>
          <t>バックエンドAPI実装</t>
        </is>
      </c>
      <c r="C7" s="4" t="inlineStr">
        <is>
          <t>田中・小林</t>
        </is>
      </c>
      <c r="D7" s="4" t="inlineStr">
        <is>
          <t>完了</t>
        </is>
      </c>
      <c r="E7" s="5" t="n">
        <v>1</v>
      </c>
      <c r="F7" s="4" t="inlineStr">
        <is>
          <t>2026/03/01</t>
        </is>
      </c>
      <c r="G7" s="4" t="inlineStr">
        <is>
          <t>2026/03/28</t>
        </is>
      </c>
      <c r="H7" s="4" t="inlineStr"/>
    </row>
    <row r="8">
      <c r="A8" s="4" t="n">
        <v>4</v>
      </c>
      <c r="B8" s="4" t="inlineStr">
        <is>
          <t>フロントエンドUI実装</t>
        </is>
      </c>
      <c r="C8" s="4" t="inlineStr">
        <is>
          <t>小林</t>
        </is>
      </c>
      <c r="D8" s="4" t="inlineStr">
        <is>
          <t>進行中</t>
        </is>
      </c>
      <c r="E8" s="5" t="n">
        <v>0.6</v>
      </c>
      <c r="F8" s="4" t="inlineStr">
        <is>
          <t>2026/03/15</t>
        </is>
      </c>
      <c r="G8" s="4" t="inlineStr">
        <is>
          <t>2026/04/30</t>
        </is>
      </c>
      <c r="H8" s="4" t="inlineStr">
        <is>
          <t>分岐ノードのD&amp;D実装中</t>
        </is>
      </c>
    </row>
    <row r="9">
      <c r="A9" s="4" t="n">
        <v>5</v>
      </c>
      <c r="B9" s="4" t="inlineStr">
        <is>
          <t>結合テスト</t>
        </is>
      </c>
      <c r="C9" s="4" t="inlineStr">
        <is>
          <t>山口</t>
        </is>
      </c>
      <c r="D9" s="4" t="inlineStr">
        <is>
          <t>未着手</t>
        </is>
      </c>
      <c r="E9" s="5" t="n">
        <v>0</v>
      </c>
      <c r="F9" s="4" t="inlineStr">
        <is>
          <t>2026/05/01</t>
        </is>
      </c>
      <c r="G9" s="4" t="inlineStr">
        <is>
          <t>2026/05/15</t>
        </is>
      </c>
      <c r="H9" s="4" t="inlineStr"/>
    </row>
    <row r="10">
      <c r="A10" s="4" t="n">
        <v>6</v>
      </c>
      <c r="B10" s="4" t="inlineStr">
        <is>
          <t>ステージング検証・修正</t>
        </is>
      </c>
      <c r="C10" s="4" t="inlineStr">
        <is>
          <t>全員</t>
        </is>
      </c>
      <c r="D10" s="4" t="inlineStr">
        <is>
          <t>未着手</t>
        </is>
      </c>
      <c r="E10" s="5" t="n">
        <v>0</v>
      </c>
      <c r="F10" s="4" t="inlineStr">
        <is>
          <t>2026/05/16</t>
        </is>
      </c>
      <c r="G10" s="4" t="inlineStr">
        <is>
          <t>2026/05/28</t>
        </is>
      </c>
      <c r="H10" s="4" t="inlineStr"/>
    </row>
    <row r="11">
      <c r="A11" s="4" t="n">
        <v>7</v>
      </c>
      <c r="B11" s="4" t="inlineStr">
        <is>
          <t>リリース</t>
        </is>
      </c>
      <c r="C11" s="4" t="inlineStr">
        <is>
          <t>田中</t>
        </is>
      </c>
      <c r="D11" s="4" t="inlineStr">
        <is>
          <t>未着手</t>
        </is>
      </c>
      <c r="E11" s="5" t="n">
        <v>0</v>
      </c>
      <c r="F11" s="4" t="inlineStr">
        <is>
          <t>2026/05/29</t>
        </is>
      </c>
      <c r="G11" s="4" t="inlineStr">
        <is>
          <t>2026/05/31</t>
        </is>
      </c>
      <c r="H11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0" customWidth="1" min="10" max="10"/>
  </cols>
  <sheetData>
    <row r="1">
      <c r="A1" s="1" t="inlineStr">
        <is>
          <t>プロダクト開発部 案件別工数実績</t>
        </is>
      </c>
    </row>
    <row r="2">
      <c r="A2" s="2" t="inlineStr">
        <is>
          <t>単位: 人月  ※各リードが月末に入力 → 鈴木が取りまとめ</t>
        </is>
      </c>
    </row>
    <row r="3"/>
    <row r="4">
      <c r="A4" s="3" t="inlineStr">
        <is>
          <t>案件ID</t>
        </is>
      </c>
      <c r="B4" s="3" t="inlineStr">
        <is>
          <t>案件名</t>
        </is>
      </c>
      <c r="C4" s="3" t="inlineStr">
        <is>
          <t>予算工数</t>
        </is>
      </c>
      <c r="D4" s="3" t="inlineStr">
        <is>
          <t>1月</t>
        </is>
      </c>
      <c r="E4" s="3" t="inlineStr">
        <is>
          <t>2月</t>
        </is>
      </c>
      <c r="F4" s="3" t="inlineStr">
        <is>
          <t>3月</t>
        </is>
      </c>
      <c r="G4" s="3" t="inlineStr">
        <is>
          <t>4月</t>
        </is>
      </c>
      <c r="H4" s="3" t="inlineStr">
        <is>
          <t>累計</t>
        </is>
      </c>
      <c r="I4" s="3" t="inlineStr">
        <is>
          <t>残工数</t>
        </is>
      </c>
      <c r="J4" s="3" t="inlineStr">
        <is>
          <t>消化率</t>
        </is>
      </c>
    </row>
    <row r="5">
      <c r="A5" s="4" t="inlineStr">
        <is>
          <t>PD-2026-001</t>
        </is>
      </c>
      <c r="B5" s="4" t="inlineStr">
        <is>
          <t>FlowBase v3.2 分岐機能</t>
        </is>
      </c>
      <c r="C5" s="7" t="n">
        <v>12</v>
      </c>
      <c r="D5" s="7" t="n">
        <v>0</v>
      </c>
      <c r="E5" s="7" t="n">
        <v>2</v>
      </c>
      <c r="F5" s="7" t="n">
        <v>3</v>
      </c>
      <c r="G5" s="7" t="n">
        <v>2.5</v>
      </c>
      <c r="H5" s="4">
        <f>SUM(D5:G5)</f>
        <v/>
      </c>
      <c r="I5" s="4">
        <f>C5-H5</f>
        <v/>
      </c>
      <c r="J5" s="5">
        <f>H5/C5</f>
        <v/>
      </c>
    </row>
    <row r="6">
      <c r="A6" s="4" t="inlineStr">
        <is>
          <t>PD-2026-002</t>
        </is>
      </c>
      <c r="B6" s="4" t="inlineStr">
        <is>
          <t>パフォーマンス改善</t>
        </is>
      </c>
      <c r="C6" s="7" t="n">
        <v>8</v>
      </c>
      <c r="D6" s="7" t="n">
        <v>0</v>
      </c>
      <c r="E6" s="7" t="n">
        <v>0</v>
      </c>
      <c r="F6" s="7" t="n">
        <v>1.5</v>
      </c>
      <c r="G6" s="7" t="n">
        <v>1.5</v>
      </c>
      <c r="H6" s="4">
        <f>SUM(D6:G6)</f>
        <v/>
      </c>
      <c r="I6" s="4">
        <f>C6-H6</f>
        <v/>
      </c>
      <c r="J6" s="5">
        <f>H6/C6</f>
        <v/>
      </c>
    </row>
    <row r="7">
      <c r="A7" s="4" t="inlineStr">
        <is>
          <t>PD-2026-003</t>
        </is>
      </c>
      <c r="B7" s="4" t="inlineStr">
        <is>
          <t>ダッシュボード刷新</t>
        </is>
      </c>
      <c r="C7" s="7" t="n">
        <v>24</v>
      </c>
      <c r="D7" s="7" t="n">
        <v>0</v>
      </c>
      <c r="E7" s="7" t="n">
        <v>0</v>
      </c>
      <c r="F7" s="7" t="n">
        <v>0</v>
      </c>
      <c r="G7" s="7" t="n">
        <v>2</v>
      </c>
      <c r="H7" s="4">
        <f>SUM(D7:G7)</f>
        <v/>
      </c>
      <c r="I7" s="4">
        <f>C7-H7</f>
        <v/>
      </c>
      <c r="J7" s="5">
        <f>H7/C7</f>
        <v/>
      </c>
    </row>
    <row r="8">
      <c r="A8" s="4" t="inlineStr">
        <is>
          <t>PD-2026-004</t>
        </is>
      </c>
      <c r="B8" s="4" t="inlineStr">
        <is>
          <t>API Rate Limiting</t>
        </is>
      </c>
      <c r="C8" s="7" t="n">
        <v>4</v>
      </c>
      <c r="D8" s="7" t="n">
        <v>1</v>
      </c>
      <c r="E8" s="7" t="n">
        <v>1.5</v>
      </c>
      <c r="F8" s="7" t="n">
        <v>1.3</v>
      </c>
      <c r="G8" s="7" t="n">
        <v>0</v>
      </c>
      <c r="H8" s="4">
        <f>SUM(D8:G8)</f>
        <v/>
      </c>
      <c r="I8" s="4">
        <f>C8-H8</f>
        <v/>
      </c>
      <c r="J8" s="5">
        <f>H8/C8</f>
        <v/>
      </c>
    </row>
    <row r="9">
      <c r="A9" s="8" t="inlineStr">
        <is>
          <t>合計</t>
        </is>
      </c>
      <c r="C9" s="9">
        <f>SUM(C5:C8)</f>
        <v/>
      </c>
      <c r="D9" s="9">
        <f>SUM(D5:D8)</f>
        <v/>
      </c>
      <c r="E9" s="9">
        <f>SUM(E5:E8)</f>
        <v/>
      </c>
      <c r="F9" s="9">
        <f>SUM(F5:F8)</f>
        <v/>
      </c>
      <c r="G9" s="9">
        <f>SUM(G5:G8)</f>
        <v/>
      </c>
      <c r="H9" s="9">
        <f>SUM(H5:H8)</f>
        <v/>
      </c>
      <c r="I9" s="9">
        <f>SUM(I5:I8)</f>
        <v/>
      </c>
      <c r="J9" s="10">
        <f>H9/C9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プロダクト開発部 月次進捗報告</t>
        </is>
      </c>
    </row>
    <row r="2">
      <c r="A2" s="2" t="inlineStr">
        <is>
          <t>2026年4月度</t>
        </is>
      </c>
    </row>
    <row r="4">
      <c r="A4" t="inlineStr"/>
    </row>
    <row r="5">
      <c r="A5" t="inlineStr">
        <is>
          <t>【全体サマリ】</t>
        </is>
      </c>
    </row>
    <row r="6">
      <c r="A6" t="inlineStr">
        <is>
          <t>・稼働案件: 3件（開発中2 + 要件定義1）、完了: 1件、承認待ち: 1件</t>
        </is>
      </c>
    </row>
    <row r="7">
      <c r="A7" t="inlineStr">
        <is>
          <t>・部門工数消化: 累計15.8人月 / 年間予算48.0人月（Q1含む）= 33%</t>
        </is>
      </c>
    </row>
    <row r="8">
      <c r="A8" t="inlineStr">
        <is>
          <t>・リスク: PD-003のデザインレビューが遅延気味。外部デザイナー起用で追加費用200万の見込み</t>
        </is>
      </c>
    </row>
    <row r="9">
      <c r="A9" t="inlineStr"/>
    </row>
    <row r="10">
      <c r="A10" t="inlineStr">
        <is>
          <t>【PD-2026-001】FlowBase v3.2 ワークフロー分岐機能（予算12.0人月 / 1,280万）</t>
        </is>
      </c>
    </row>
    <row r="11">
      <c r="A11" t="inlineStr">
        <is>
          <t>・工数: 7.5人月消化 / 12.0人月（63%） 進捗: 65% → 計画通り</t>
        </is>
      </c>
    </row>
    <row r="12">
      <c r="A12" t="inlineStr">
        <is>
          <t>・API実装完了。フロントUI実装中（小林担当、4月末完了見込み）</t>
        </is>
      </c>
    </row>
    <row r="13">
      <c r="A13" t="inlineStr">
        <is>
          <t>・5月に結合テスト→リリースの予定。現時点でリスクなし。</t>
        </is>
      </c>
    </row>
    <row r="14">
      <c r="A14" t="inlineStr"/>
    </row>
    <row r="15">
      <c r="A15" t="inlineStr">
        <is>
          <t>【PD-2026-002】FlowBase パフォーマンス改善（予算8.0人月 / 1,100万）</t>
        </is>
      </c>
    </row>
    <row r="16">
      <c r="A16" t="inlineStr">
        <is>
          <t>・工数: 3.0人月消化 / 8.0人月（38%） 進捗: 30% → やや遅延</t>
        </is>
      </c>
    </row>
    <row r="17">
      <c r="A17" t="inlineStr">
        <is>
          <t>・DBクエリ最適化で想定外の複雑さ。外注DBコンサル（月額80万）を2ヶ月投入。</t>
        </is>
      </c>
    </row>
    <row r="18">
      <c r="A18" t="inlineStr">
        <is>
          <t>・直接経費が当初見込みより160万増。工数は計画内だが金額ベースでは超過リスクあり</t>
        </is>
      </c>
    </row>
    <row r="19">
      <c r="A19" t="inlineStr"/>
    </row>
    <row r="20">
      <c r="A20" t="inlineStr">
        <is>
          <t>【PD-2026-003】ダッシュボード刷新（予算24.0人月 / 2,900万）</t>
        </is>
      </c>
    </row>
    <row r="21">
      <c r="A21" t="inlineStr">
        <is>
          <t>・工数: 2.0人月消化 / 24.0人月（8%） 進捗: 10% → 遅延</t>
        </is>
      </c>
    </row>
    <row r="22">
      <c r="A22" t="inlineStr">
        <is>
          <t>・デザイナーの稼働が別案件と競合。外部UIデザイナー起用を決定（月額120万×3ヶ月）</t>
        </is>
      </c>
    </row>
    <row r="23">
      <c r="A23" t="inlineStr">
        <is>
          <t>・対策: 4/15から外部参画。5月から本格開発開始予定。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2026-04-13T13:07:17Z</dcterms:created>
  <dcterms:modified xmlns:dcterms="http://purl.org/dc/terms/" xmlns:xsi="http://www.w3.org/2001/XMLSchema-instance" xsi:type="dcterms:W3CDTF">2026-04-13T13:07:17Z</dcterms:modified>
</cp:coreProperties>
</file>