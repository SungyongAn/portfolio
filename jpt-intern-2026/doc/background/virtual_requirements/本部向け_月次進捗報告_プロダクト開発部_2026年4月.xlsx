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666666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9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4" fillId="0" borderId="0" pivotButton="0" quotePrefix="0" xfId="0"/>
    <xf numFmtId="164" fontId="4" fillId="0" borderId="1" pivotButton="0" quotePrefix="0" xfId="0"/>
    <xf numFmtId="9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  <col width="13" customWidth="1" min="10" max="10"/>
    <col width="13" customWidth="1" min="11" max="11"/>
    <col width="10" customWidth="1" min="12" max="12"/>
    <col width="28" customWidth="1" min="13" max="13"/>
    <col width="15" customWidth="1" min="14" max="14"/>
  </cols>
  <sheetData>
    <row r="1">
      <c r="A1" s="1" t="inlineStr">
        <is>
          <t>プロダクト開発部 月次進捗・予実報告（本部提出用）</t>
        </is>
      </c>
    </row>
    <row r="2">
      <c r="A2" s="2" t="inlineStr">
        <is>
          <t>報告月: 2026年4月  報告者: 鈴木健一  提出日: 2026/04/10</t>
        </is>
      </c>
    </row>
    <row r="3"/>
    <row r="4">
      <c r="A4" s="3" t="inlineStr">
        <is>
          <t>案件ID</t>
        </is>
      </c>
      <c r="B4" s="3" t="inlineStr">
        <is>
          <t>案件名</t>
        </is>
      </c>
      <c r="C4" s="3" t="inlineStr">
        <is>
          <t>ステータス</t>
        </is>
      </c>
      <c r="D4" s="3" t="inlineStr">
        <is>
          <t>計画
進捗率</t>
        </is>
      </c>
      <c r="E4" s="3" t="inlineStr">
        <is>
          <t>実績
進捗率</t>
        </is>
      </c>
      <c r="F4" s="3" t="inlineStr">
        <is>
          <t>進捗
差異</t>
        </is>
      </c>
      <c r="G4" s="3" t="inlineStr">
        <is>
          <t>予算工数
(人月)</t>
        </is>
      </c>
      <c r="H4" s="3" t="inlineStr">
        <is>
          <t>実績工数
(人月)</t>
        </is>
      </c>
      <c r="I4" s="3" t="inlineStr">
        <is>
          <t>工数
消化率</t>
        </is>
      </c>
      <c r="J4" s="3" t="inlineStr">
        <is>
          <t>予算金額
(万円)</t>
        </is>
      </c>
      <c r="K4" s="3" t="inlineStr">
        <is>
          <t>実績金額
(万円)</t>
        </is>
      </c>
      <c r="L4" s="3" t="inlineStr">
        <is>
          <t>金額
消化率</t>
        </is>
      </c>
      <c r="M4" s="3" t="inlineStr">
        <is>
          <t>リスク・課題</t>
        </is>
      </c>
      <c r="N4" s="3" t="inlineStr">
        <is>
          <t>次月アクション</t>
        </is>
      </c>
    </row>
    <row r="5">
      <c r="A5" s="4" t="inlineStr">
        <is>
          <t>PD-001</t>
        </is>
      </c>
      <c r="B5" s="4" t="inlineStr">
        <is>
          <t>FlowBase v3.2 分岐機能</t>
        </is>
      </c>
      <c r="C5" s="4" t="inlineStr">
        <is>
          <t>開発中</t>
        </is>
      </c>
      <c r="D5" s="5" t="n">
        <v>0.6</v>
      </c>
      <c r="E5" s="5" t="n">
        <v>0.65</v>
      </c>
      <c r="F5" s="4" t="inlineStr">
        <is>
          <t>+5%</t>
        </is>
      </c>
      <c r="G5" s="6" t="n">
        <v>12</v>
      </c>
      <c r="H5" s="6" t="n">
        <v>7.5</v>
      </c>
      <c r="I5" s="5">
        <f>H5/G5</f>
        <v/>
      </c>
      <c r="J5" s="7" t="n">
        <v>1280</v>
      </c>
      <c r="K5" s="7" t="n">
        <v>800</v>
      </c>
      <c r="L5" s="5">
        <f>K5/J5</f>
        <v/>
      </c>
      <c r="M5" s="4" t="inlineStr">
        <is>
          <t>なし</t>
        </is>
      </c>
      <c r="N5" s="4" t="inlineStr">
        <is>
          <t>5月結合テスト開始</t>
        </is>
      </c>
    </row>
    <row r="6">
      <c r="A6" s="8" t="inlineStr">
        <is>
          <t>PD-002</t>
        </is>
      </c>
      <c r="B6" s="8" t="inlineStr">
        <is>
          <t>パフォーマンス改善</t>
        </is>
      </c>
      <c r="C6" s="8" t="inlineStr">
        <is>
          <t>開発中</t>
        </is>
      </c>
      <c r="D6" s="9" t="n">
        <v>0.35</v>
      </c>
      <c r="E6" s="9" t="n">
        <v>0.3</v>
      </c>
      <c r="F6" s="8" t="inlineStr">
        <is>
          <t>-5%</t>
        </is>
      </c>
      <c r="G6" s="10" t="n">
        <v>8</v>
      </c>
      <c r="H6" s="10" t="n">
        <v>3</v>
      </c>
      <c r="I6" s="9">
        <f>H6/G6</f>
        <v/>
      </c>
      <c r="J6" s="11" t="n">
        <v>1100</v>
      </c>
      <c r="K6" s="11" t="n">
        <v>460</v>
      </c>
      <c r="L6" s="9">
        <f>K6/J6</f>
        <v/>
      </c>
      <c r="M6" s="8" t="inlineStr">
        <is>
          <t>DBクエリ最適化が想定より複雑
外注コスト160万増</t>
        </is>
      </c>
      <c r="N6" s="8" t="inlineStr">
        <is>
          <t>ボトルネック特定→対策実施</t>
        </is>
      </c>
    </row>
    <row r="7">
      <c r="A7" s="8" t="inlineStr">
        <is>
          <t>PD-003</t>
        </is>
      </c>
      <c r="B7" s="8" t="inlineStr">
        <is>
          <t>ダッシュボード刷新</t>
        </is>
      </c>
      <c r="C7" s="8" t="inlineStr">
        <is>
          <t>要件定義</t>
        </is>
      </c>
      <c r="D7" s="9" t="n">
        <v>0.15</v>
      </c>
      <c r="E7" s="9" t="n">
        <v>0.1</v>
      </c>
      <c r="F7" s="8" t="inlineStr">
        <is>
          <t>-5%</t>
        </is>
      </c>
      <c r="G7" s="10" t="n">
        <v>24</v>
      </c>
      <c r="H7" s="10" t="n">
        <v>2</v>
      </c>
      <c r="I7" s="9">
        <f>H7/G7</f>
        <v/>
      </c>
      <c r="J7" s="11" t="n">
        <v>2900</v>
      </c>
      <c r="K7" s="11" t="n">
        <v>200</v>
      </c>
      <c r="L7" s="9">
        <f>K7/J7</f>
        <v/>
      </c>
      <c r="M7" s="8" t="inlineStr">
        <is>
          <t>デザイナーリソース不足
外部起用で360万追加見込</t>
        </is>
      </c>
      <c r="N7" s="8" t="inlineStr">
        <is>
          <t>4/15外部デザイナー参画</t>
        </is>
      </c>
    </row>
    <row r="8">
      <c r="A8" s="4" t="inlineStr">
        <is>
          <t>PD-004</t>
        </is>
      </c>
      <c r="B8" s="4" t="inlineStr">
        <is>
          <t>API Rate Limiting</t>
        </is>
      </c>
      <c r="C8" s="4" t="inlineStr">
        <is>
          <t>完了</t>
        </is>
      </c>
      <c r="D8" s="5" t="n">
        <v>1</v>
      </c>
      <c r="E8" s="5" t="n">
        <v>1</v>
      </c>
      <c r="F8" s="4" t="inlineStr">
        <is>
          <t>0%</t>
        </is>
      </c>
      <c r="G8" s="6" t="n">
        <v>4</v>
      </c>
      <c r="H8" s="6" t="n">
        <v>3.8</v>
      </c>
      <c r="I8" s="5">
        <f>H8/G8</f>
        <v/>
      </c>
      <c r="J8" s="7" t="n">
        <v>420</v>
      </c>
      <c r="K8" s="7" t="n">
        <v>395</v>
      </c>
      <c r="L8" s="5">
        <f>K8/J8</f>
        <v/>
      </c>
      <c r="M8" s="4" t="inlineStr">
        <is>
          <t>なし</t>
        </is>
      </c>
      <c r="N8" s="4" t="inlineStr">
        <is>
          <t>—</t>
        </is>
      </c>
    </row>
    <row r="9">
      <c r="A9" s="4" t="inlineStr">
        <is>
          <t>PD-005</t>
        </is>
      </c>
      <c r="B9" s="4" t="inlineStr">
        <is>
          <t>多言語対応</t>
        </is>
      </c>
      <c r="C9" s="4" t="inlineStr">
        <is>
          <t>承認待ち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6" t="n">
        <v>18</v>
      </c>
      <c r="H9" s="6" t="n">
        <v>0</v>
      </c>
      <c r="I9" s="5" t="inlineStr">
        <is>
          <t>—</t>
        </is>
      </c>
      <c r="J9" s="7" t="n">
        <v>2100</v>
      </c>
      <c r="K9" s="7" t="n">
        <v>0</v>
      </c>
      <c r="L9" s="5" t="inlineStr">
        <is>
          <t>—</t>
        </is>
      </c>
      <c r="M9" s="4" t="inlineStr">
        <is>
          <t>本部承認待ち</t>
        </is>
      </c>
      <c r="N9" s="4" t="inlineStr">
        <is>
          <t>承認後に計画策定</t>
        </is>
      </c>
    </row>
    <row r="10"/>
    <row r="11">
      <c r="A11" s="12" t="inlineStr">
        <is>
          <t>部門合計</t>
        </is>
      </c>
      <c r="G11" s="13">
        <f>SUM(G5:G9)</f>
        <v/>
      </c>
      <c r="H11" s="13">
        <f>SUM(H5:H9)</f>
        <v/>
      </c>
      <c r="I11" s="14">
        <f>H11/G11</f>
        <v/>
      </c>
      <c r="J11" s="15">
        <f>SUM(J5:J9)</f>
        <v/>
      </c>
      <c r="K11" s="15">
        <f>SUM(K5:K9)</f>
        <v/>
      </c>
      <c r="L11" s="14">
        <f>K11/J11</f>
        <v/>
      </c>
    </row>
    <row r="12"/>
    <row r="13">
      <c r="A13" s="12" t="inlineStr">
        <is>
          <t>【部長コメント】</t>
        </is>
      </c>
    </row>
    <row r="14">
      <c r="A14" t="inlineStr">
        <is>
          <t>PD-002: 外注コスト増により金額ベースで超過リスク。工数は計画内。Q2末までに160万の追加予算申請を検討。</t>
        </is>
      </c>
    </row>
    <row r="15">
      <c r="A15" t="inlineStr">
        <is>
          <t>PD-003: デザイナー不足が解消されれば5月から計画に復帰見込み。ただし外部起用費360万は当初予算に含まれていない。</t>
        </is>
      </c>
    </row>
    <row r="16">
      <c r="A16" t="inlineStr">
        <is>
          <t>PD-005: 承認が4月中に下りない場合、Q3開始が困難になる。翻訳外注費300万の発注タイミングにも影響。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2026-04-13T13:07:17Z</dcterms:created>
  <dcterms:modified xmlns:dcterms="http://purl.org/dc/terms/" xmlns:xsi="http://www.w3.org/2001/XMLSchema-instance" xsi:type="dcterms:W3CDTF">2026-04-13T13:07:17Z</dcterms:modified>
</cp:coreProperties>
</file>