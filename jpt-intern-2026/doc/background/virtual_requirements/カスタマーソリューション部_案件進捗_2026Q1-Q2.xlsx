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進捗一覧" sheetId="1" state="visible" r:id="rId1"/>
    <sheet xmlns:r="http://schemas.openxmlformats.org/officeDocument/2006/relationships" name="メンバー別工数" sheetId="2" state="visible" r:id="rId2"/>
    <sheet xmlns:r="http://schemas.openxmlformats.org/officeDocument/2006/relationships" name="顧客別予算サマ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66666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0" fillId="0" borderId="1" pivotButton="0" quotePrefix="0" xfId="0"/>
    <xf numFmtId="3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25" customWidth="1" min="17" max="17"/>
  </cols>
  <sheetData>
    <row r="1">
      <c r="A1" s="1" t="inlineStr">
        <is>
          <t>CS部 案件進捗管理 2026年度</t>
        </is>
      </c>
    </row>
    <row r="2">
      <c r="A2" s="2" t="inlineStr">
        <is>
          <t>最終更新: 2026/4/8 山田</t>
        </is>
      </c>
    </row>
    <row r="3"/>
    <row r="4">
      <c r="A4" s="3" t="inlineStr">
        <is>
          <t>管理番号</t>
        </is>
      </c>
      <c r="B4" s="3" t="inlineStr">
        <is>
          <t>顧客名</t>
        </is>
      </c>
      <c r="C4" s="3" t="inlineStr">
        <is>
          <t>案件概要</t>
        </is>
      </c>
      <c r="D4" s="3" t="inlineStr">
        <is>
          <t>種別</t>
        </is>
      </c>
      <c r="E4" s="3" t="inlineStr">
        <is>
          <t>担当者</t>
        </is>
      </c>
      <c r="F4" s="3" t="inlineStr">
        <is>
          <t>予定工数(人日)</t>
        </is>
      </c>
      <c r="G4" s="3" t="inlineStr">
        <is>
          <t>実績工数(人日)</t>
        </is>
      </c>
      <c r="H4" s="3" t="inlineStr">
        <is>
          <t>工数消化率</t>
        </is>
      </c>
      <c r="I4" s="3" t="inlineStr">
        <is>
          <t>予算(万円)</t>
        </is>
      </c>
      <c r="J4" s="3" t="inlineStr">
        <is>
          <t>実績(万円)</t>
        </is>
      </c>
      <c r="K4" s="3" t="inlineStr">
        <is>
          <t>予算消化率</t>
        </is>
      </c>
      <c r="L4" s="3" t="inlineStr">
        <is>
          <t>着手日</t>
        </is>
      </c>
      <c r="M4" s="3" t="inlineStr">
        <is>
          <t>納期</t>
        </is>
      </c>
      <c r="N4" s="3" t="inlineStr">
        <is>
          <t>状況</t>
        </is>
      </c>
      <c r="O4" s="3" t="inlineStr">
        <is>
          <t>進捗(%)</t>
        </is>
      </c>
      <c r="P4" s="3" t="inlineStr">
        <is>
          <t>顧客連絡</t>
        </is>
      </c>
      <c r="Q4" s="3" t="inlineStr">
        <is>
          <t>社内メモ</t>
        </is>
      </c>
    </row>
    <row r="5">
      <c r="A5" s="4" t="inlineStr">
        <is>
          <t>CS-001</t>
        </is>
      </c>
      <c r="B5" s="4" t="inlineStr">
        <is>
          <t>ABC商事</t>
        </is>
      </c>
      <c r="C5" s="4" t="inlineStr">
        <is>
          <t>請求書ワークフローのカスタマイズ</t>
        </is>
      </c>
      <c r="D5" s="4" t="inlineStr">
        <is>
          <t>カスタマイズ</t>
        </is>
      </c>
      <c r="E5" s="4" t="inlineStr">
        <is>
          <t>佐藤美咲</t>
        </is>
      </c>
      <c r="F5" s="4" t="n">
        <v>60</v>
      </c>
      <c r="G5" s="4" t="n">
        <v>45</v>
      </c>
      <c r="H5" s="5">
        <f>G5/F5</f>
        <v/>
      </c>
      <c r="I5" s="6" t="n">
        <v>480</v>
      </c>
      <c r="J5" s="6" t="n">
        <v>380</v>
      </c>
      <c r="K5" s="5">
        <f>J5/I5</f>
        <v/>
      </c>
      <c r="L5" s="4" t="inlineStr">
        <is>
          <t>2026/01/20</t>
        </is>
      </c>
      <c r="M5" s="4" t="inlineStr">
        <is>
          <t>2026/04/15</t>
        </is>
      </c>
      <c r="N5" s="4" t="inlineStr">
        <is>
          <t>テスト中</t>
        </is>
      </c>
      <c r="O5" s="7" t="n">
        <v>80</v>
      </c>
      <c r="P5" s="4" t="inlineStr">
        <is>
          <t>4/12に検収MTG予定</t>
        </is>
      </c>
      <c r="Q5" s="4" t="inlineStr">
        <is>
          <t>テストケース残り5件</t>
        </is>
      </c>
    </row>
    <row r="6">
      <c r="A6" s="4" t="inlineStr">
        <is>
          <t>CS-002</t>
        </is>
      </c>
      <c r="B6" s="4" t="inlineStr">
        <is>
          <t>DEF物流</t>
        </is>
      </c>
      <c r="C6" s="4" t="inlineStr">
        <is>
          <t>在庫管理画面の追加開発</t>
        </is>
      </c>
      <c r="D6" s="4" t="inlineStr">
        <is>
          <t>新規開発</t>
        </is>
      </c>
      <c r="E6" s="4" t="inlineStr">
        <is>
          <t>佐藤美咲</t>
        </is>
      </c>
      <c r="F6" s="4" t="n">
        <v>120</v>
      </c>
      <c r="G6" s="4" t="n">
        <v>25</v>
      </c>
      <c r="H6" s="5">
        <f>G6/F6</f>
        <v/>
      </c>
      <c r="I6" s="6" t="n">
        <v>1200</v>
      </c>
      <c r="J6" s="6" t="n">
        <v>210</v>
      </c>
      <c r="K6" s="5">
        <f>J6/I6</f>
        <v/>
      </c>
      <c r="L6" s="4" t="inlineStr">
        <is>
          <t>2026/03/01</t>
        </is>
      </c>
      <c r="M6" s="4" t="inlineStr">
        <is>
          <t>2026/06/30</t>
        </is>
      </c>
      <c r="N6" s="4" t="inlineStr">
        <is>
          <t>対応中</t>
        </is>
      </c>
      <c r="O6" s="7" t="n">
        <v>25</v>
      </c>
      <c r="P6" s="4" t="inlineStr">
        <is>
          <t>3/25要件FIX済</t>
        </is>
      </c>
      <c r="Q6" s="4" t="inlineStr">
        <is>
          <t>外注SE 1名参画中（月80万）</t>
        </is>
      </c>
    </row>
    <row r="7">
      <c r="A7" s="4" t="inlineStr">
        <is>
          <t>CS-003</t>
        </is>
      </c>
      <c r="B7" s="4" t="inlineStr">
        <is>
          <t>GHI銀行</t>
        </is>
      </c>
      <c r="C7" s="4" t="inlineStr">
        <is>
          <t>セキュリティ監査対応（ログ強化）</t>
        </is>
      </c>
      <c r="D7" s="4" t="inlineStr">
        <is>
          <t>改修</t>
        </is>
      </c>
      <c r="E7" s="4" t="inlineStr">
        <is>
          <t>木村</t>
        </is>
      </c>
      <c r="F7" s="4" t="n">
        <v>40</v>
      </c>
      <c r="G7" s="4" t="n">
        <v>38</v>
      </c>
      <c r="H7" s="5">
        <f>G7/F7</f>
        <v/>
      </c>
      <c r="I7" s="6" t="n">
        <v>350</v>
      </c>
      <c r="J7" s="6" t="n">
        <v>330</v>
      </c>
      <c r="K7" s="5">
        <f>J7/I7</f>
        <v/>
      </c>
      <c r="L7" s="4" t="inlineStr">
        <is>
          <t>2026/02/01</t>
        </is>
      </c>
      <c r="M7" s="4" t="inlineStr">
        <is>
          <t>2026/03/31</t>
        </is>
      </c>
      <c r="N7" s="4" t="inlineStr">
        <is>
          <t>クローズ</t>
        </is>
      </c>
      <c r="O7" s="7" t="n">
        <v>100</v>
      </c>
      <c r="P7" s="4" t="inlineStr">
        <is>
          <t>3/29納品完了</t>
        </is>
      </c>
      <c r="Q7" s="4" t="inlineStr">
        <is>
          <t>検収書受領済。予算内完了</t>
        </is>
      </c>
    </row>
    <row r="8">
      <c r="A8" s="4" t="inlineStr">
        <is>
          <t>CS-004</t>
        </is>
      </c>
      <c r="B8" s="4" t="inlineStr">
        <is>
          <t>ABC商事</t>
        </is>
      </c>
      <c r="C8" s="4" t="inlineStr">
        <is>
          <t>承認ルートの動的変更機能</t>
        </is>
      </c>
      <c r="D8" s="4" t="inlineStr">
        <is>
          <t>カスタマイズ</t>
        </is>
      </c>
      <c r="E8" s="4" t="inlineStr">
        <is>
          <t>佐藤美咲</t>
        </is>
      </c>
      <c r="F8" s="4" t="n">
        <v>150</v>
      </c>
      <c r="G8" s="4" t="n">
        <v>12</v>
      </c>
      <c r="H8" s="5">
        <f>G8/F8</f>
        <v/>
      </c>
      <c r="I8" s="6" t="n">
        <v>1500</v>
      </c>
      <c r="J8" s="6" t="n">
        <v>100</v>
      </c>
      <c r="K8" s="5">
        <f>J8/I8</f>
        <v/>
      </c>
      <c r="L8" s="4" t="inlineStr">
        <is>
          <t>2026/04/01</t>
        </is>
      </c>
      <c r="M8" s="4" t="inlineStr">
        <is>
          <t>2026/07/31</t>
        </is>
      </c>
      <c r="N8" s="4" t="inlineStr">
        <is>
          <t>対応中</t>
        </is>
      </c>
      <c r="O8" s="7" t="n">
        <v>10</v>
      </c>
      <c r="P8" s="4" t="inlineStr">
        <is>
          <t>4/5キックオフ済</t>
        </is>
      </c>
      <c r="Q8" s="4" t="inlineStr">
        <is>
          <t>要件が曖昧。追加ヒアリング必要。工数膨れリスク</t>
        </is>
      </c>
    </row>
    <row r="9">
      <c r="A9" s="4" t="inlineStr">
        <is>
          <t>CS-005</t>
        </is>
      </c>
      <c r="B9" s="4" t="inlineStr">
        <is>
          <t>JKL製薬</t>
        </is>
      </c>
      <c r="C9" s="4" t="inlineStr">
        <is>
          <t>多要素認証の導入支援</t>
        </is>
      </c>
      <c r="D9" s="4" t="inlineStr">
        <is>
          <t>導入支援</t>
        </is>
      </c>
      <c r="E9" s="4" t="inlineStr">
        <is>
          <t>高田</t>
        </is>
      </c>
      <c r="F9" s="4" t="n">
        <v>30</v>
      </c>
      <c r="G9" s="4" t="n">
        <v>0</v>
      </c>
      <c r="H9" s="5">
        <f>G9/F9</f>
        <v/>
      </c>
      <c r="I9" s="6" t="n">
        <v>250</v>
      </c>
      <c r="J9" s="6" t="n">
        <v>0</v>
      </c>
      <c r="K9" s="5">
        <f>J9/I9</f>
        <v/>
      </c>
      <c r="L9" s="4" t="inlineStr">
        <is>
          <t>2026/04/15</t>
        </is>
      </c>
      <c r="M9" s="4" t="inlineStr">
        <is>
          <t>2026/05/31</t>
        </is>
      </c>
      <c r="N9" s="4" t="inlineStr">
        <is>
          <t>未着手</t>
        </is>
      </c>
      <c r="O9" s="7" t="n">
        <v>0</v>
      </c>
      <c r="P9" s="4" t="inlineStr">
        <is>
          <t>4/15開始予定</t>
        </is>
      </c>
      <c r="Q9" s="4" t="inlineStr"/>
    </row>
    <row r="10">
      <c r="A10" s="4" t="inlineStr">
        <is>
          <t>CS-006</t>
        </is>
      </c>
      <c r="B10" s="4" t="inlineStr">
        <is>
          <t>MNO食品</t>
        </is>
      </c>
      <c r="C10" s="4" t="inlineStr">
        <is>
          <t>帳票出力のPDF対応</t>
        </is>
      </c>
      <c r="D10" s="4" t="inlineStr">
        <is>
          <t>改修</t>
        </is>
      </c>
      <c r="E10" s="4" t="inlineStr">
        <is>
          <t>木村</t>
        </is>
      </c>
      <c r="F10" s="4" t="n">
        <v>20</v>
      </c>
      <c r="G10" s="4" t="n">
        <v>18</v>
      </c>
      <c r="H10" s="5">
        <f>G10/F10</f>
        <v/>
      </c>
      <c r="I10" s="6" t="n">
        <v>180</v>
      </c>
      <c r="J10" s="6" t="n">
        <v>165</v>
      </c>
      <c r="K10" s="5">
        <f>J10/I10</f>
        <v/>
      </c>
      <c r="L10" s="4" t="inlineStr">
        <is>
          <t>2026/03/10</t>
        </is>
      </c>
      <c r="M10" s="4" t="inlineStr">
        <is>
          <t>2026/04/10</t>
        </is>
      </c>
      <c r="N10" s="4" t="inlineStr">
        <is>
          <t>検収待ち</t>
        </is>
      </c>
      <c r="O10" s="7" t="n">
        <v>95</v>
      </c>
      <c r="P10" s="4" t="inlineStr">
        <is>
          <t>4/8納品。検収待ち</t>
        </is>
      </c>
      <c r="Q10" s="4" t="inlineStr">
        <is>
          <t>軽微な修正1件あり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</cols>
  <sheetData>
    <row r="1">
      <c r="A1" s="1" t="inlineStr">
        <is>
          <t>CS部 メンバー別 月次工数実績（人日）</t>
        </is>
      </c>
    </row>
    <row r="2">
      <c r="A2" s="2" t="inlineStr">
        <is>
          <t>※各メンバーが月末にSlackで報告 → 山田がこのシートに転記</t>
        </is>
      </c>
    </row>
    <row r="3"/>
    <row r="4">
      <c r="A4" s="3" t="inlineStr">
        <is>
          <t>メンバー</t>
        </is>
      </c>
      <c r="B4" s="3" t="inlineStr">
        <is>
          <t>案件</t>
        </is>
      </c>
      <c r="C4" s="3" t="inlineStr">
        <is>
          <t>1月</t>
        </is>
      </c>
      <c r="D4" s="3" t="inlineStr">
        <is>
          <t>2月</t>
        </is>
      </c>
      <c r="E4" s="3" t="inlineStr">
        <is>
          <t>3月</t>
        </is>
      </c>
      <c r="F4" s="3" t="inlineStr">
        <is>
          <t>4月</t>
        </is>
      </c>
      <c r="G4" s="3" t="inlineStr">
        <is>
          <t>累計</t>
        </is>
      </c>
      <c r="H4" s="3" t="inlineStr">
        <is>
          <t>月平均</t>
        </is>
      </c>
    </row>
    <row r="5">
      <c r="A5" s="4" t="inlineStr">
        <is>
          <t>佐藤美咲</t>
        </is>
      </c>
      <c r="B5" s="4" t="inlineStr">
        <is>
          <t>CS-001 ABC商事WF</t>
        </is>
      </c>
      <c r="C5" s="4" t="n">
        <v>12</v>
      </c>
      <c r="D5" s="4" t="n">
        <v>10</v>
      </c>
      <c r="E5" s="4" t="n">
        <v>13</v>
      </c>
      <c r="F5" s="4" t="n">
        <v>10</v>
      </c>
      <c r="G5" s="4">
        <f>SUM(C5:F5)</f>
        <v/>
      </c>
      <c r="H5" s="4">
        <f>G5/4</f>
        <v/>
      </c>
    </row>
    <row r="6">
      <c r="A6" s="4" t="inlineStr">
        <is>
          <t>佐藤美咲</t>
        </is>
      </c>
      <c r="B6" s="4" t="inlineStr">
        <is>
          <t>CS-002 DEF物流</t>
        </is>
      </c>
      <c r="C6" s="4" t="n">
        <v>0</v>
      </c>
      <c r="D6" s="4" t="n">
        <v>0</v>
      </c>
      <c r="E6" s="4" t="n">
        <v>8</v>
      </c>
      <c r="F6" s="4" t="n">
        <v>17</v>
      </c>
      <c r="G6" s="4">
        <f>SUM(C6:F6)</f>
        <v/>
      </c>
      <c r="H6" s="4">
        <f>G6/4</f>
        <v/>
      </c>
    </row>
    <row r="7">
      <c r="A7" s="4" t="inlineStr">
        <is>
          <t>佐藤美咲</t>
        </is>
      </c>
      <c r="B7" s="4" t="inlineStr">
        <is>
          <t>CS-004 ABC商事承認</t>
        </is>
      </c>
      <c r="C7" s="4" t="n">
        <v>0</v>
      </c>
      <c r="D7" s="4" t="n">
        <v>0</v>
      </c>
      <c r="E7" s="4" t="n">
        <v>0</v>
      </c>
      <c r="F7" s="4" t="n">
        <v>12</v>
      </c>
      <c r="G7" s="4">
        <f>SUM(C7:F7)</f>
        <v/>
      </c>
      <c r="H7" s="4">
        <f>G7/4</f>
        <v/>
      </c>
    </row>
    <row r="8">
      <c r="A8" s="4" t="inlineStr">
        <is>
          <t>木村</t>
        </is>
      </c>
      <c r="B8" s="4" t="inlineStr">
        <is>
          <t>CS-003 GHI銀行</t>
        </is>
      </c>
      <c r="C8" s="4" t="n">
        <v>10</v>
      </c>
      <c r="D8" s="4" t="n">
        <v>15</v>
      </c>
      <c r="E8" s="4" t="n">
        <v>13</v>
      </c>
      <c r="F8" s="4" t="n">
        <v>0</v>
      </c>
      <c r="G8" s="4">
        <f>SUM(C8:F8)</f>
        <v/>
      </c>
      <c r="H8" s="4">
        <f>G8/4</f>
        <v/>
      </c>
    </row>
    <row r="9">
      <c r="A9" s="4" t="inlineStr">
        <is>
          <t>木村</t>
        </is>
      </c>
      <c r="B9" s="4" t="inlineStr">
        <is>
          <t>CS-006 MNO食品</t>
        </is>
      </c>
      <c r="C9" s="4" t="n">
        <v>0</v>
      </c>
      <c r="D9" s="4" t="n">
        <v>0</v>
      </c>
      <c r="E9" s="4" t="n">
        <v>10</v>
      </c>
      <c r="F9" s="4" t="n">
        <v>8</v>
      </c>
      <c r="G9" s="4">
        <f>SUM(C9:F9)</f>
        <v/>
      </c>
      <c r="H9" s="4">
        <f>G9/4</f>
        <v/>
      </c>
    </row>
    <row r="10">
      <c r="A10" s="4" t="inlineStr">
        <is>
          <t>高田</t>
        </is>
      </c>
      <c r="B10" s="4" t="inlineStr">
        <is>
          <t>CS-005 JKL製薬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>
        <f>SUM(C10:F10)</f>
        <v/>
      </c>
      <c r="H10" s="4">
        <f>G10/4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顧客別 予算サマリ</t>
        </is>
      </c>
    </row>
    <row r="2"/>
    <row r="3">
      <c r="A3" s="3" t="inlineStr">
        <is>
          <t>顧客名</t>
        </is>
      </c>
      <c r="B3" s="3" t="inlineStr">
        <is>
          <t>案件数</t>
        </is>
      </c>
      <c r="C3" s="3" t="inlineStr">
        <is>
          <t>合計予算(万円)</t>
        </is>
      </c>
      <c r="D3" s="3" t="inlineStr">
        <is>
          <t>合計実績(万円)</t>
        </is>
      </c>
      <c r="E3" s="3" t="inlineStr">
        <is>
          <t>予算消化率</t>
        </is>
      </c>
    </row>
    <row r="4">
      <c r="A4" s="4" t="inlineStr">
        <is>
          <t>ABC商事</t>
        </is>
      </c>
      <c r="B4" s="4" t="n">
        <v>2</v>
      </c>
      <c r="C4" s="6" t="n">
        <v>1980</v>
      </c>
      <c r="D4" s="6" t="n">
        <v>480</v>
      </c>
      <c r="E4" s="5">
        <f>D4/C4</f>
        <v/>
      </c>
    </row>
    <row r="5">
      <c r="A5" s="4" t="inlineStr">
        <is>
          <t>DEF物流</t>
        </is>
      </c>
      <c r="B5" s="4" t="n">
        <v>1</v>
      </c>
      <c r="C5" s="6" t="n">
        <v>1200</v>
      </c>
      <c r="D5" s="6" t="n">
        <v>210</v>
      </c>
      <c r="E5" s="5">
        <f>D5/C5</f>
        <v/>
      </c>
    </row>
    <row r="6">
      <c r="A6" s="4" t="inlineStr">
        <is>
          <t>GHI銀行</t>
        </is>
      </c>
      <c r="B6" s="4" t="n">
        <v>1</v>
      </c>
      <c r="C6" s="6" t="n">
        <v>350</v>
      </c>
      <c r="D6" s="6" t="n">
        <v>330</v>
      </c>
      <c r="E6" s="5">
        <f>D6/C6</f>
        <v/>
      </c>
    </row>
    <row r="7">
      <c r="A7" s="4" t="inlineStr">
        <is>
          <t>JKL製薬</t>
        </is>
      </c>
      <c r="B7" s="4" t="n">
        <v>1</v>
      </c>
      <c r="C7" s="6" t="n">
        <v>250</v>
      </c>
      <c r="D7" s="6" t="n">
        <v>0</v>
      </c>
      <c r="E7" s="5">
        <f>D7/C7</f>
        <v/>
      </c>
    </row>
    <row r="8">
      <c r="A8" s="4" t="inlineStr">
        <is>
          <t>MNO食品</t>
        </is>
      </c>
      <c r="B8" s="4" t="n">
        <v>1</v>
      </c>
      <c r="C8" s="6" t="n">
        <v>180</v>
      </c>
      <c r="D8" s="6" t="n">
        <v>165</v>
      </c>
      <c r="E8" s="5">
        <f>D8/C8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2026-04-13T13:07:17Z</dcterms:created>
  <dcterms:modified xmlns:dcterms="http://purl.org/dc/terms/" xmlns:xsi="http://www.w3.org/2001/XMLSchema-instance" xsi:type="dcterms:W3CDTF">2026-04-13T13:07:17Z</dcterms:modified>
</cp:coreProperties>
</file>